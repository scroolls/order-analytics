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инамика" sheetId="2" state="visible" r:id="rId2"/>
    <sheet xmlns:r="http://schemas.openxmlformats.org/officeDocument/2006/relationships" name="Категории" sheetId="3" state="visible" r:id="rId3"/>
    <sheet xmlns:r="http://schemas.openxmlformats.org/officeDocument/2006/relationships" name="Регионы" sheetId="4" state="visible" r:id="rId4"/>
    <sheet xmlns:r="http://schemas.openxmlformats.org/officeDocument/2006/relationships" name="Каналы" sheetId="5" state="visible" r:id="rId5"/>
  </sheets>
  <definedNames>
    <definedName name="_xlnm._FilterDatabase" localSheetId="0" hidden="1">'Сводка'!$A$1:$B$12</definedName>
    <definedName name="_xlnm._FilterDatabase" localSheetId="1" hidden="1">'Динамика'!$A$1:$G$7</definedName>
    <definedName name="_xlnm._FilterDatabase" localSheetId="2" hidden="1">'Категории'!$A$1:$E$5</definedName>
    <definedName name="_xlnm._FilterDatabase" localSheetId="3" hidden="1">'Регионы'!$A$1:$D$5</definedName>
    <definedName name="_xlnm._FilterDatabase" localSheetId="4" hidden="1">'Каналы'!$A$1:$D$4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color rgb="001B2733"/>
      <sz val="11"/>
    </font>
    <font>
      <name val="Calibri"/>
      <i val="1"/>
      <color rgb="00526677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3" fillId="0" borderId="0" pivotButton="0" quotePrefix="0" xfId="0"/>
    <xf numFmtId="4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Выручка по месяцам</a:t>
            </a:r>
          </a:p>
        </rich>
      </tx>
    </title>
    <plotArea>
      <lineChart>
        <grouping val="standard"/>
        <ser>
          <idx val="0"/>
          <order val="0"/>
          <tx>
            <strRef>
              <f>'Динамика'!E1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'Динамика'!$A$2:$A$7</f>
            </numRef>
          </cat>
          <val>
            <numRef>
              <f>'Динамика'!$E$2:$E$7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Месяц заказа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₽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Доля возвратов по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'Динамика'!F1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'Динамика'!$A$2:$A$7</f>
            </numRef>
          </cat>
          <val>
            <numRef>
              <f>'Динамика'!$F$2:$F$7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Доля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19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2" customWidth="1" min="2" max="2"/>
  </cols>
  <sheetData>
    <row r="1" ht="28" customHeight="1">
      <c r="A1" s="1" t="inlineStr">
        <is>
          <t>Показатель</t>
        </is>
      </c>
      <c r="B1" s="1" t="inlineStr">
        <is>
          <t>Значение</t>
        </is>
      </c>
    </row>
    <row r="2">
      <c r="A2" s="2" t="inlineStr">
        <is>
          <t>Всего заказов</t>
        </is>
      </c>
      <c r="B2" s="3" t="n">
        <v>4000</v>
      </c>
    </row>
    <row r="3">
      <c r="A3" s="2" t="inlineStr">
        <is>
          <t>Завершённые заказы</t>
        </is>
      </c>
      <c r="B3" s="3" t="n">
        <v>3779</v>
      </c>
    </row>
    <row r="4">
      <c r="A4" s="2" t="inlineStr">
        <is>
          <t>Отменённые заказы</t>
        </is>
      </c>
      <c r="B4" s="3" t="n">
        <v>221</v>
      </c>
    </row>
    <row r="5">
      <c r="A5" s="2" t="inlineStr">
        <is>
          <t>Возвраты</t>
        </is>
      </c>
      <c r="B5" s="3" t="n">
        <v>308</v>
      </c>
    </row>
    <row r="6">
      <c r="A6" s="2" t="inlineStr">
        <is>
          <t>Выручка после возвратов, ₽</t>
        </is>
      </c>
      <c r="B6" s="3" t="n">
        <v>19139529.73</v>
      </c>
    </row>
    <row r="7">
      <c r="A7" s="2" t="inlineStr">
        <is>
          <t>Доля возвратов</t>
        </is>
      </c>
      <c r="B7" s="4" t="n">
        <v>0.0815</v>
      </c>
    </row>
    <row r="8">
      <c r="A8" s="2" t="inlineStr">
        <is>
          <t>Нижняя граница 95% интервала</t>
        </is>
      </c>
      <c r="B8" s="4" t="n">
        <v>0.0732</v>
      </c>
    </row>
    <row r="9">
      <c r="A9" s="2" t="inlineStr">
        <is>
          <t>Верхняя граница 95% интервала</t>
        </is>
      </c>
      <c r="B9" s="4" t="n">
        <v>0.0907</v>
      </c>
    </row>
    <row r="10">
      <c r="A10" s="2" t="inlineStr">
        <is>
          <t>Доля доставок позже срока</t>
        </is>
      </c>
      <c r="B10" s="4" t="n">
        <v>0.4311</v>
      </c>
    </row>
    <row r="11">
      <c r="A11" s="2" t="inlineStr">
        <is>
          <t>Медиана срока доставки, дни</t>
        </is>
      </c>
      <c r="B11" s="3" t="n">
        <v>5</v>
      </c>
    </row>
    <row r="12">
      <c r="A12" s="2" t="inlineStr">
        <is>
          <t>90-й процентиль срока доставки, дни</t>
        </is>
      </c>
      <c r="B12" s="3" t="n">
        <v>7</v>
      </c>
    </row>
    <row r="14">
      <c r="A14" s="5" t="inlineStr">
        <is>
          <t>95% интервал показывает неопределённость оценки доли возвратов.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7" customWidth="1" min="7" max="7"/>
    <col width="15" customWidth="1" min="9" max="9"/>
  </cols>
  <sheetData>
    <row r="1" ht="28" customHeight="1">
      <c r="A1" s="1" t="inlineStr">
        <is>
          <t>Месяц</t>
        </is>
      </c>
      <c r="B1" s="1" t="inlineStr">
        <is>
          <t>Заказы</t>
        </is>
      </c>
      <c r="C1" s="1" t="inlineStr">
        <is>
          <t>Завершено</t>
        </is>
      </c>
      <c r="D1" s="1" t="inlineStr">
        <is>
          <t>Возвраты</t>
        </is>
      </c>
      <c r="E1" s="1" t="inlineStr">
        <is>
          <t>Выручка, ₽</t>
        </is>
      </c>
      <c r="F1" s="1" t="inlineStr">
        <is>
          <t>Доля возвратов</t>
        </is>
      </c>
      <c r="G1" s="1" t="inlineStr">
        <is>
          <t>Доля просрочек</t>
        </is>
      </c>
    </row>
    <row r="2">
      <c r="A2" s="2" t="inlineStr">
        <is>
          <t>2026-01</t>
        </is>
      </c>
      <c r="B2" s="6" t="n">
        <v>679</v>
      </c>
      <c r="C2" s="6" t="n">
        <v>637</v>
      </c>
      <c r="D2" s="6" t="n">
        <v>60</v>
      </c>
      <c r="E2" s="3" t="n">
        <v>3248153.7</v>
      </c>
      <c r="F2" s="4" t="n">
        <v>0.09420000000000001</v>
      </c>
      <c r="G2" s="4" t="n">
        <v>0.4458</v>
      </c>
    </row>
    <row r="3">
      <c r="A3" s="2" t="inlineStr">
        <is>
          <t>2026-02</t>
        </is>
      </c>
      <c r="B3" s="6" t="n">
        <v>653</v>
      </c>
      <c r="C3" s="6" t="n">
        <v>617</v>
      </c>
      <c r="D3" s="6" t="n">
        <v>43</v>
      </c>
      <c r="E3" s="3" t="n">
        <v>3186580.51</v>
      </c>
      <c r="F3" s="4" t="n">
        <v>0.0697</v>
      </c>
      <c r="G3" s="4" t="n">
        <v>0.4052</v>
      </c>
    </row>
    <row r="4">
      <c r="A4" s="2" t="inlineStr">
        <is>
          <t>2026-03</t>
        </is>
      </c>
      <c r="B4" s="6" t="n">
        <v>706</v>
      </c>
      <c r="C4" s="6" t="n">
        <v>665</v>
      </c>
      <c r="D4" s="6" t="n">
        <v>55</v>
      </c>
      <c r="E4" s="3" t="n">
        <v>3277472.51</v>
      </c>
      <c r="F4" s="4" t="n">
        <v>0.0827</v>
      </c>
      <c r="G4" s="4" t="n">
        <v>0.4451</v>
      </c>
    </row>
    <row r="5">
      <c r="A5" s="2" t="inlineStr">
        <is>
          <t>2026-04</t>
        </is>
      </c>
      <c r="B5" s="6" t="n">
        <v>658</v>
      </c>
      <c r="C5" s="6" t="n">
        <v>626</v>
      </c>
      <c r="D5" s="6" t="n">
        <v>49</v>
      </c>
      <c r="E5" s="3" t="n">
        <v>3086322.34</v>
      </c>
      <c r="F5" s="4" t="n">
        <v>0.07829999999999999</v>
      </c>
      <c r="G5" s="4" t="n">
        <v>0.4121</v>
      </c>
    </row>
    <row r="6">
      <c r="A6" s="2" t="inlineStr">
        <is>
          <t>2026-05</t>
        </is>
      </c>
      <c r="B6" s="6" t="n">
        <v>680</v>
      </c>
      <c r="C6" s="6" t="n">
        <v>648</v>
      </c>
      <c r="D6" s="6" t="n">
        <v>58</v>
      </c>
      <c r="E6" s="3" t="n">
        <v>3334854.94</v>
      </c>
      <c r="F6" s="4" t="n">
        <v>0.0895</v>
      </c>
      <c r="G6" s="4" t="n">
        <v>0.4568</v>
      </c>
    </row>
    <row r="7">
      <c r="A7" s="2" t="inlineStr">
        <is>
          <t>2026-06</t>
        </is>
      </c>
      <c r="B7" s="6" t="n">
        <v>624</v>
      </c>
      <c r="C7" s="6" t="n">
        <v>586</v>
      </c>
      <c r="D7" s="6" t="n">
        <v>43</v>
      </c>
      <c r="E7" s="3" t="n">
        <v>3006145.73</v>
      </c>
      <c r="F7" s="4" t="n">
        <v>0.07340000000000001</v>
      </c>
      <c r="G7" s="4" t="n">
        <v>0.4181</v>
      </c>
    </row>
  </sheetData>
  <autoFilter ref="A1:G7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</cols>
  <sheetData>
    <row r="1" ht="28" customHeight="1">
      <c r="A1" s="1" t="inlineStr">
        <is>
          <t>Категория</t>
        </is>
      </c>
      <c r="B1" s="1" t="inlineStr">
        <is>
          <t>Завершено</t>
        </is>
      </c>
      <c r="C1" s="1" t="inlineStr">
        <is>
          <t>Возвраты</t>
        </is>
      </c>
      <c r="D1" s="1" t="inlineStr">
        <is>
          <t>Выручка, ₽</t>
        </is>
      </c>
      <c r="E1" s="1" t="inlineStr">
        <is>
          <t>Доля возвратов</t>
        </is>
      </c>
    </row>
    <row r="2">
      <c r="A2" s="2" t="inlineStr">
        <is>
          <t>Электроника</t>
        </is>
      </c>
      <c r="B2" s="6" t="n">
        <v>902</v>
      </c>
      <c r="C2" s="6" t="n">
        <v>76</v>
      </c>
      <c r="D2" s="3" t="n">
        <v>9010905.99</v>
      </c>
      <c r="E2" s="4" t="n">
        <v>0.0843</v>
      </c>
    </row>
    <row r="3">
      <c r="A3" s="2" t="inlineStr">
        <is>
          <t>Дом</t>
        </is>
      </c>
      <c r="B3" s="6" t="n">
        <v>1047</v>
      </c>
      <c r="C3" s="6" t="n">
        <v>81</v>
      </c>
      <c r="D3" s="3" t="n">
        <v>3812992.45</v>
      </c>
      <c r="E3" s="4" t="n">
        <v>0.0774</v>
      </c>
    </row>
    <row r="4">
      <c r="A4" s="2" t="inlineStr">
        <is>
          <t>Одежда</t>
        </is>
      </c>
      <c r="B4" s="6" t="n">
        <v>1200</v>
      </c>
      <c r="C4" s="6" t="n">
        <v>96</v>
      </c>
      <c r="D4" s="3" t="n">
        <v>3260388.77</v>
      </c>
      <c r="E4" s="4" t="n">
        <v>0.08</v>
      </c>
    </row>
    <row r="5">
      <c r="A5" s="2" t="inlineStr">
        <is>
          <t>Спорт</t>
        </is>
      </c>
      <c r="B5" s="6" t="n">
        <v>630</v>
      </c>
      <c r="C5" s="6" t="n">
        <v>55</v>
      </c>
      <c r="D5" s="3" t="n">
        <v>3055242.52</v>
      </c>
      <c r="E5" s="4" t="n">
        <v>0.0873</v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7" customWidth="1" min="4" max="4"/>
  </cols>
  <sheetData>
    <row r="1" ht="28" customHeight="1">
      <c r="A1" s="1" t="inlineStr">
        <is>
          <t>Регион</t>
        </is>
      </c>
      <c r="B1" s="1" t="inlineStr">
        <is>
          <t>Завершено</t>
        </is>
      </c>
      <c r="C1" s="1" t="inlineStr">
        <is>
          <t>Выручка, ₽</t>
        </is>
      </c>
      <c r="D1" s="1" t="inlineStr">
        <is>
          <t>Доля просрочек</t>
        </is>
      </c>
    </row>
    <row r="2">
      <c r="A2" s="2" t="inlineStr">
        <is>
          <t>Москва</t>
        </is>
      </c>
      <c r="B2" s="6" t="n">
        <v>1609</v>
      </c>
      <c r="C2" s="3" t="n">
        <v>8249140.43</v>
      </c>
      <c r="D2" s="4" t="n">
        <v>0.4264</v>
      </c>
    </row>
    <row r="3">
      <c r="A3" s="2" t="inlineStr">
        <is>
          <t>Санкт-Петербург</t>
        </is>
      </c>
      <c r="B3" s="6" t="n">
        <v>1047</v>
      </c>
      <c r="C3" s="3" t="n">
        <v>5281206.56</v>
      </c>
      <c r="D3" s="4" t="n">
        <v>0.4327</v>
      </c>
    </row>
    <row r="4">
      <c r="A4" s="2" t="inlineStr">
        <is>
          <t>Казань</t>
        </is>
      </c>
      <c r="B4" s="6" t="n">
        <v>629</v>
      </c>
      <c r="C4" s="3" t="n">
        <v>3182962.84</v>
      </c>
      <c r="D4" s="4" t="n">
        <v>0.4499</v>
      </c>
    </row>
    <row r="5">
      <c r="A5" s="2" t="inlineStr">
        <is>
          <t>Екатеринбург</t>
        </is>
      </c>
      <c r="B5" s="6" t="n">
        <v>494</v>
      </c>
      <c r="C5" s="3" t="n">
        <v>2426219.9</v>
      </c>
      <c r="D5" s="4" t="n">
        <v>0.419</v>
      </c>
    </row>
  </sheetData>
  <autoFilter ref="A1: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</cols>
  <sheetData>
    <row r="1" ht="28" customHeight="1">
      <c r="A1" s="1" t="inlineStr">
        <is>
          <t>Канал</t>
        </is>
      </c>
      <c r="B1" s="1" t="inlineStr">
        <is>
          <t>Завершено</t>
        </is>
      </c>
      <c r="C1" s="1" t="inlineStr">
        <is>
          <t>Выручка, ₽</t>
        </is>
      </c>
      <c r="D1" s="1" t="inlineStr">
        <is>
          <t>Доля возвратов</t>
        </is>
      </c>
    </row>
    <row r="2">
      <c r="A2" s="2" t="inlineStr">
        <is>
          <t>Сайт</t>
        </is>
      </c>
      <c r="B2" s="6" t="n">
        <v>1653</v>
      </c>
      <c r="C2" s="3" t="n">
        <v>8518853.289999999</v>
      </c>
      <c r="D2" s="4" t="n">
        <v>0.08409999999999999</v>
      </c>
    </row>
    <row r="3">
      <c r="A3" s="2" t="inlineStr">
        <is>
          <t>Приложение</t>
        </is>
      </c>
      <c r="B3" s="6" t="n">
        <v>1665</v>
      </c>
      <c r="C3" s="3" t="n">
        <v>8346935.5</v>
      </c>
      <c r="D3" s="4" t="n">
        <v>0.07870000000000001</v>
      </c>
    </row>
    <row r="4">
      <c r="A4" s="2" t="inlineStr">
        <is>
          <t>Партнёры</t>
        </is>
      </c>
      <c r="B4" s="6" t="n">
        <v>461</v>
      </c>
      <c r="C4" s="3" t="n">
        <v>2273740.94</v>
      </c>
      <c r="D4" s="4" t="n">
        <v>0.0824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2026-10-19T15:06:43Z</dcterms:created>
  <dcterms:modified xmlns:dcterms="http://purl.org/dc/terms/" xmlns:xsi="http://www.w3.org/2001/XMLSchema-instance" xsi:type="dcterms:W3CDTF">2026-10-19T15:06:43Z</dcterms:modified>
</cp:coreProperties>
</file>